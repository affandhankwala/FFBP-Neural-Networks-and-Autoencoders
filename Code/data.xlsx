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mm\OneDrive\Documents\JHU-Masters\Fall_2024\605.649\Projects\P3\"/>
    </mc:Choice>
  </mc:AlternateContent>
  <xr:revisionPtr revIDLastSave="0" documentId="13_ncr:1_{2AF04A96-01C1-471A-A813-2CD61999156D}" xr6:coauthVersionLast="47" xr6:coauthVersionMax="47" xr10:uidLastSave="{00000000-0000-0000-0000-000000000000}"/>
  <bookViews>
    <workbookView xWindow="-18975" yWindow="3135" windowWidth="28800" windowHeight="15345" activeTab="1" xr2:uid="{79E95AE4-3ADE-44FD-AD8C-0BE2BB4A8E76}"/>
  </bookViews>
  <sheets>
    <sheet name="Tuning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2" l="1"/>
  <c r="H37" i="2"/>
  <c r="H35" i="2"/>
  <c r="H33" i="2"/>
  <c r="H31" i="2"/>
  <c r="H29" i="2"/>
  <c r="H27" i="2"/>
  <c r="H25" i="2"/>
  <c r="H23" i="2"/>
  <c r="H21" i="2"/>
  <c r="H19" i="2"/>
  <c r="H17" i="2"/>
  <c r="H15" i="2"/>
  <c r="H13" i="2"/>
  <c r="H11" i="2"/>
  <c r="H7" i="2"/>
  <c r="H9" i="2"/>
  <c r="H5" i="2"/>
</calcChain>
</file>

<file path=xl/sharedStrings.xml><?xml version="1.0" encoding="utf-8"?>
<sst xmlns="http://schemas.openxmlformats.org/spreadsheetml/2006/main" count="74" uniqueCount="31">
  <si>
    <t>Dataset</t>
  </si>
  <si>
    <t>Abalone</t>
  </si>
  <si>
    <t>Breast-cancer-wisonsin</t>
  </si>
  <si>
    <t>Car</t>
  </si>
  <si>
    <t>ForestFires</t>
  </si>
  <si>
    <t>House-votes-84</t>
  </si>
  <si>
    <t>machine</t>
  </si>
  <si>
    <t>Epochs</t>
  </si>
  <si>
    <t>Eta</t>
  </si>
  <si>
    <t>Hidden Nodes</t>
  </si>
  <si>
    <t>Autoencoder Nodes</t>
  </si>
  <si>
    <t>[15, 15]</t>
  </si>
  <si>
    <t>[3, 15]</t>
  </si>
  <si>
    <t>[7, 4]</t>
  </si>
  <si>
    <t>[15, 4]</t>
  </si>
  <si>
    <t>[1, 2]</t>
  </si>
  <si>
    <t>[4, 5]</t>
  </si>
  <si>
    <t>Simple NN</t>
  </si>
  <si>
    <t>Mean</t>
  </si>
  <si>
    <t>Hidden Layer NN</t>
  </si>
  <si>
    <t>DATASET</t>
  </si>
  <si>
    <t>LOSS</t>
  </si>
  <si>
    <t>Auto Encoded NN</t>
  </si>
  <si>
    <t>TIME (S)</t>
  </si>
  <si>
    <t>Breast-cancer-wisconsin</t>
  </si>
  <si>
    <t>Forestfires</t>
  </si>
  <si>
    <t>Machine</t>
  </si>
  <si>
    <t>[1, 8]</t>
  </si>
  <si>
    <t>Label type</t>
  </si>
  <si>
    <t>Regression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</si>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</sst>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0" fillId="4" borderId="1" xfId="0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0AAA-D254-4089-B693-7CC9BEC04A34}">
  <dimension ref="C3:H9"/>
  <sheetViews>
    <sheetView workbookViewId="0">
      <selection activeCell="C3" sqref="C3:H9"/>
    </sheetView>
  </sheetViews>
  <sheetFormatPr defaultRowHeight="15" x14ac:dyDescent="0.25"/>
  <cols>
    <col min="3" max="3" width="22.42578125" bestFit="1" customWidth="1"/>
    <col min="4" max="4" width="22.42578125" customWidth="1"/>
    <col min="5" max="6" width="9.140625" style="1"/>
    <col min="7" max="7" width="13.5703125" style="1" bestFit="1" customWidth="1"/>
    <col min="8" max="8" width="19.140625" style="1" bestFit="1" customWidth="1"/>
  </cols>
  <sheetData>
    <row r="3" spans="3:8" x14ac:dyDescent="0.25">
      <c r="C3" s="2" t="s">
        <v>0</v>
      </c>
      <c r="D3" s="2" t="s">
        <v>28</v>
      </c>
      <c r="E3" s="5" t="s">
        <v>7</v>
      </c>
      <c r="F3" s="5" t="s">
        <v>8</v>
      </c>
      <c r="G3" s="5" t="s">
        <v>9</v>
      </c>
      <c r="H3" s="5" t="s">
        <v>10</v>
      </c>
    </row>
    <row r="4" spans="3:8" x14ac:dyDescent="0.25">
      <c r="C4" s="4" t="s">
        <v>1</v>
      </c>
      <c r="D4" s="4" t="s">
        <v>29</v>
      </c>
      <c r="E4" s="7">
        <v>542</v>
      </c>
      <c r="F4" s="7">
        <v>1E-3</v>
      </c>
      <c r="G4" s="7" t="s">
        <v>27</v>
      </c>
      <c r="H4" s="7" t="s">
        <v>16</v>
      </c>
    </row>
    <row r="5" spans="3:8" x14ac:dyDescent="0.25">
      <c r="C5" s="4" t="s">
        <v>2</v>
      </c>
      <c r="D5" s="4" t="s">
        <v>30</v>
      </c>
      <c r="E5" s="7">
        <v>408</v>
      </c>
      <c r="F5" s="7">
        <v>5.0000000000000001E-3</v>
      </c>
      <c r="G5" s="7" t="s">
        <v>11</v>
      </c>
      <c r="H5" s="7" t="s">
        <v>16</v>
      </c>
    </row>
    <row r="6" spans="3:8" x14ac:dyDescent="0.25">
      <c r="C6" s="4" t="s">
        <v>3</v>
      </c>
      <c r="D6" s="4" t="s">
        <v>30</v>
      </c>
      <c r="E6" s="7">
        <v>500</v>
      </c>
      <c r="F6" s="7">
        <v>1E-3</v>
      </c>
      <c r="G6" s="7" t="s">
        <v>12</v>
      </c>
      <c r="H6" s="7" t="s">
        <v>16</v>
      </c>
    </row>
    <row r="7" spans="3:8" x14ac:dyDescent="0.25">
      <c r="C7" s="4" t="s">
        <v>4</v>
      </c>
      <c r="D7" s="4" t="s">
        <v>29</v>
      </c>
      <c r="E7" s="7">
        <v>200</v>
      </c>
      <c r="F7" s="7">
        <v>0.01</v>
      </c>
      <c r="G7" s="7" t="s">
        <v>13</v>
      </c>
      <c r="H7" s="7" t="s">
        <v>16</v>
      </c>
    </row>
    <row r="8" spans="3:8" x14ac:dyDescent="0.25">
      <c r="C8" s="4" t="s">
        <v>5</v>
      </c>
      <c r="D8" s="4" t="s">
        <v>30</v>
      </c>
      <c r="E8" s="7">
        <v>293</v>
      </c>
      <c r="F8" s="7">
        <v>0.1</v>
      </c>
      <c r="G8" s="7" t="s">
        <v>14</v>
      </c>
      <c r="H8" s="7" t="s">
        <v>16</v>
      </c>
    </row>
    <row r="9" spans="3:8" x14ac:dyDescent="0.25">
      <c r="C9" s="4" t="s">
        <v>6</v>
      </c>
      <c r="D9" s="4" t="s">
        <v>29</v>
      </c>
      <c r="E9" s="7">
        <v>482</v>
      </c>
      <c r="F9" s="7">
        <v>5.0000000000000001E-4</v>
      </c>
      <c r="G9" s="7" t="s">
        <v>15</v>
      </c>
      <c r="H9" s="7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99E2-409B-4BB8-BDC4-ED70382A7BEB}">
  <dimension ref="B3:I39"/>
  <sheetViews>
    <sheetView tabSelected="1" topLeftCell="A28" zoomScale="130" zoomScaleNormal="130" workbookViewId="0">
      <selection activeCell="B3" sqref="B3:I39"/>
    </sheetView>
  </sheetViews>
  <sheetFormatPr defaultRowHeight="15" x14ac:dyDescent="0.25"/>
  <cols>
    <col min="2" max="2" width="10.5703125" customWidth="1"/>
    <col min="3" max="3" width="10.28515625" bestFit="1" customWidth="1"/>
    <col min="8" max="8" width="12.5703125" bestFit="1" customWidth="1"/>
  </cols>
  <sheetData>
    <row r="3" spans="2:9" x14ac:dyDescent="0.25">
      <c r="B3" s="2" t="s">
        <v>20</v>
      </c>
      <c r="C3" s="20" t="s">
        <v>21</v>
      </c>
      <c r="D3" s="21"/>
      <c r="E3" s="21"/>
      <c r="F3" s="21"/>
      <c r="G3" s="21"/>
      <c r="H3" s="22"/>
      <c r="I3" s="5" t="s">
        <v>23</v>
      </c>
    </row>
    <row r="4" spans="2:9" x14ac:dyDescent="0.25">
      <c r="B4" s="17" t="s">
        <v>1</v>
      </c>
      <c r="C4" s="11" t="s">
        <v>17</v>
      </c>
      <c r="D4" s="12"/>
      <c r="E4" s="12"/>
      <c r="F4" s="12"/>
      <c r="G4" s="13"/>
      <c r="H4" s="3" t="s">
        <v>18</v>
      </c>
      <c r="I4" s="14">
        <v>28.12</v>
      </c>
    </row>
    <row r="5" spans="2:9" x14ac:dyDescent="0.25">
      <c r="B5" s="18"/>
      <c r="C5" s="4">
        <v>9.2999999999999992E-3</v>
      </c>
      <c r="D5" s="4">
        <v>9.2999999999999992E-3</v>
      </c>
      <c r="E5" s="4">
        <v>9.2999999999999992E-3</v>
      </c>
      <c r="F5" s="4">
        <v>9.2999999999999992E-3</v>
      </c>
      <c r="G5" s="4">
        <v>9.2999999999999992E-3</v>
      </c>
      <c r="H5" s="6">
        <f>AVERAGE(C5:G5)</f>
        <v>9.2999999999999992E-3</v>
      </c>
      <c r="I5" s="15"/>
    </row>
    <row r="6" spans="2:9" x14ac:dyDescent="0.25">
      <c r="B6" s="18"/>
      <c r="C6" s="11" t="s">
        <v>19</v>
      </c>
      <c r="D6" s="12"/>
      <c r="E6" s="12"/>
      <c r="F6" s="12"/>
      <c r="G6" s="13"/>
      <c r="H6" s="3" t="s">
        <v>18</v>
      </c>
      <c r="I6" s="15"/>
    </row>
    <row r="7" spans="2:9" x14ac:dyDescent="0.25">
      <c r="B7" s="18"/>
      <c r="C7" s="4">
        <v>1.14E-2</v>
      </c>
      <c r="D7" s="4">
        <v>1.15E-2</v>
      </c>
      <c r="E7" s="4">
        <v>1.15E-2</v>
      </c>
      <c r="F7" s="4">
        <v>1.14E-2</v>
      </c>
      <c r="G7" s="4">
        <v>1.15E-2</v>
      </c>
      <c r="H7" s="6">
        <f>AVERAGE(C7:G7)</f>
        <v>1.1460000000000001E-2</v>
      </c>
      <c r="I7" s="15"/>
    </row>
    <row r="8" spans="2:9" x14ac:dyDescent="0.25">
      <c r="B8" s="18"/>
      <c r="C8" s="11" t="s">
        <v>22</v>
      </c>
      <c r="D8" s="12"/>
      <c r="E8" s="12"/>
      <c r="F8" s="12"/>
      <c r="G8" s="13"/>
      <c r="H8" s="3" t="s">
        <v>18</v>
      </c>
      <c r="I8" s="15"/>
    </row>
    <row r="9" spans="2:9" x14ac:dyDescent="0.25">
      <c r="B9" s="19"/>
      <c r="C9" s="4">
        <v>88.512</v>
      </c>
      <c r="D9" s="4">
        <v>91.425799999999995</v>
      </c>
      <c r="E9" s="4">
        <v>90.1006</v>
      </c>
      <c r="F9" s="4">
        <v>90.353300000000004</v>
      </c>
      <c r="G9" s="4">
        <v>90.626300000000001</v>
      </c>
      <c r="H9" s="6">
        <f>AVERAGE(C9:G9)</f>
        <v>90.203599999999994</v>
      </c>
      <c r="I9" s="16"/>
    </row>
    <row r="10" spans="2:9" ht="15" customHeight="1" x14ac:dyDescent="0.25">
      <c r="B10" s="8" t="s">
        <v>24</v>
      </c>
      <c r="C10" s="11" t="s">
        <v>17</v>
      </c>
      <c r="D10" s="12"/>
      <c r="E10" s="12"/>
      <c r="F10" s="12"/>
      <c r="G10" s="13"/>
      <c r="H10" s="3" t="s">
        <v>18</v>
      </c>
      <c r="I10" s="14">
        <v>22.69</v>
      </c>
    </row>
    <row r="11" spans="2:9" x14ac:dyDescent="0.25">
      <c r="B11" s="9"/>
      <c r="C11" s="4">
        <v>0.13600000000000001</v>
      </c>
      <c r="D11" s="4">
        <v>0.13569999999999999</v>
      </c>
      <c r="E11" s="4">
        <v>0.1363</v>
      </c>
      <c r="F11" s="4">
        <v>0.13730000000000001</v>
      </c>
      <c r="G11" s="4">
        <v>0.1348</v>
      </c>
      <c r="H11" s="6">
        <f>AVERAGE(C11:G11)</f>
        <v>0.13602</v>
      </c>
      <c r="I11" s="15"/>
    </row>
    <row r="12" spans="2:9" x14ac:dyDescent="0.25">
      <c r="B12" s="9"/>
      <c r="C12" s="11" t="s">
        <v>19</v>
      </c>
      <c r="D12" s="12"/>
      <c r="E12" s="12"/>
      <c r="F12" s="12"/>
      <c r="G12" s="13"/>
      <c r="H12" s="3" t="s">
        <v>18</v>
      </c>
      <c r="I12" s="15"/>
    </row>
    <row r="13" spans="2:9" x14ac:dyDescent="0.25">
      <c r="B13" s="9"/>
      <c r="C13" s="4">
        <v>0.68840000000000001</v>
      </c>
      <c r="D13" s="4">
        <v>0.68840000000000001</v>
      </c>
      <c r="E13" s="4">
        <v>0.68840000000000001</v>
      </c>
      <c r="F13" s="4">
        <v>0.68840000000000001</v>
      </c>
      <c r="G13" s="4">
        <v>0.68840000000000001</v>
      </c>
      <c r="H13" s="6">
        <f>AVERAGE(C13:G13)</f>
        <v>0.68840000000000001</v>
      </c>
      <c r="I13" s="15"/>
    </row>
    <row r="14" spans="2:9" x14ac:dyDescent="0.25">
      <c r="B14" s="9"/>
      <c r="C14" s="11" t="s">
        <v>22</v>
      </c>
      <c r="D14" s="12"/>
      <c r="E14" s="12"/>
      <c r="F14" s="12"/>
      <c r="G14" s="13"/>
      <c r="H14" s="3" t="s">
        <v>18</v>
      </c>
      <c r="I14" s="15"/>
    </row>
    <row r="15" spans="2:9" x14ac:dyDescent="0.25">
      <c r="B15" s="10"/>
      <c r="C15" s="4">
        <v>0.61660000000000004</v>
      </c>
      <c r="D15" s="4">
        <v>0.2767</v>
      </c>
      <c r="E15" s="4">
        <v>0.58130000000000004</v>
      </c>
      <c r="F15" s="4">
        <v>0.6754</v>
      </c>
      <c r="G15" s="4">
        <v>0.62270000000000003</v>
      </c>
      <c r="H15" s="6">
        <f>AVERAGE(C15:G15)</f>
        <v>0.55454000000000003</v>
      </c>
      <c r="I15" s="16"/>
    </row>
    <row r="16" spans="2:9" x14ac:dyDescent="0.25">
      <c r="B16" s="8" t="s">
        <v>3</v>
      </c>
      <c r="C16" s="11" t="s">
        <v>17</v>
      </c>
      <c r="D16" s="12"/>
      <c r="E16" s="12"/>
      <c r="F16" s="12"/>
      <c r="G16" s="13"/>
      <c r="H16" s="3" t="s">
        <v>18</v>
      </c>
      <c r="I16" s="14">
        <v>80.72</v>
      </c>
    </row>
    <row r="17" spans="2:9" x14ac:dyDescent="0.25">
      <c r="B17" s="9"/>
      <c r="C17" s="4">
        <v>1.0038</v>
      </c>
      <c r="D17" s="4">
        <v>1.002</v>
      </c>
      <c r="E17" s="4">
        <v>1.0039</v>
      </c>
      <c r="F17" s="4">
        <v>1.0023</v>
      </c>
      <c r="G17" s="4">
        <v>0.99890000000000001</v>
      </c>
      <c r="H17" s="6">
        <f>AVERAGE(C17:G17)</f>
        <v>1.0021799999999998</v>
      </c>
      <c r="I17" s="15"/>
    </row>
    <row r="18" spans="2:9" x14ac:dyDescent="0.25">
      <c r="B18" s="9"/>
      <c r="C18" s="11" t="s">
        <v>19</v>
      </c>
      <c r="D18" s="12"/>
      <c r="E18" s="12"/>
      <c r="F18" s="12"/>
      <c r="G18" s="13"/>
      <c r="H18" s="3" t="s">
        <v>18</v>
      </c>
      <c r="I18" s="15"/>
    </row>
    <row r="19" spans="2:9" x14ac:dyDescent="0.25">
      <c r="B19" s="9"/>
      <c r="C19" s="4">
        <v>0.99050000000000005</v>
      </c>
      <c r="D19" s="4">
        <v>0.99429999999999996</v>
      </c>
      <c r="E19" s="4">
        <v>0.99550000000000005</v>
      </c>
      <c r="F19" s="4">
        <v>0.99560000000000004</v>
      </c>
      <c r="G19" s="4">
        <v>0.99790000000000001</v>
      </c>
      <c r="H19" s="6">
        <f>AVERAGE(C19:G19)</f>
        <v>0.99475999999999998</v>
      </c>
      <c r="I19" s="15"/>
    </row>
    <row r="20" spans="2:9" x14ac:dyDescent="0.25">
      <c r="B20" s="9"/>
      <c r="C20" s="11" t="s">
        <v>22</v>
      </c>
      <c r="D20" s="12"/>
      <c r="E20" s="12"/>
      <c r="F20" s="12"/>
      <c r="G20" s="13"/>
      <c r="H20" s="3" t="s">
        <v>18</v>
      </c>
      <c r="I20" s="15"/>
    </row>
    <row r="21" spans="2:9" x14ac:dyDescent="0.25">
      <c r="B21" s="10"/>
      <c r="C21" s="4">
        <v>0.77580000000000005</v>
      </c>
      <c r="D21" s="4">
        <v>0.86409999999999998</v>
      </c>
      <c r="E21" s="4">
        <v>0.81079999999999997</v>
      </c>
      <c r="F21" s="4">
        <v>0.84460000000000002</v>
      </c>
      <c r="G21" s="4">
        <v>0.78779999999999994</v>
      </c>
      <c r="H21" s="6">
        <f>AVERAGE(C21:G21)</f>
        <v>0.81662000000000001</v>
      </c>
      <c r="I21" s="16"/>
    </row>
    <row r="22" spans="2:9" ht="15" customHeight="1" x14ac:dyDescent="0.25">
      <c r="B22" s="8" t="s">
        <v>25</v>
      </c>
      <c r="C22" s="11" t="s">
        <v>17</v>
      </c>
      <c r="D22" s="12"/>
      <c r="E22" s="12"/>
      <c r="F22" s="12"/>
      <c r="G22" s="13"/>
      <c r="H22" s="3" t="s">
        <v>18</v>
      </c>
      <c r="I22" s="14">
        <v>1.46</v>
      </c>
    </row>
    <row r="23" spans="2:9" x14ac:dyDescent="0.25">
      <c r="B23" s="9"/>
      <c r="C23" s="4">
        <v>4.5007999999999999</v>
      </c>
      <c r="D23" s="4">
        <v>4.5007999999999999</v>
      </c>
      <c r="E23" s="4">
        <v>4.5010000000000003</v>
      </c>
      <c r="F23" s="4">
        <v>4.5007999999999999</v>
      </c>
      <c r="G23" s="4">
        <v>4.5008999999999997</v>
      </c>
      <c r="H23" s="6">
        <f>AVERAGE(C23:G23)</f>
        <v>4.5008600000000003</v>
      </c>
      <c r="I23" s="15"/>
    </row>
    <row r="24" spans="2:9" x14ac:dyDescent="0.25">
      <c r="B24" s="9"/>
      <c r="C24" s="11" t="s">
        <v>19</v>
      </c>
      <c r="D24" s="12"/>
      <c r="E24" s="12"/>
      <c r="F24" s="12"/>
      <c r="G24" s="13"/>
      <c r="H24" s="3" t="s">
        <v>18</v>
      </c>
      <c r="I24" s="15"/>
    </row>
    <row r="25" spans="2:9" x14ac:dyDescent="0.25">
      <c r="B25" s="9"/>
      <c r="C25" s="4">
        <v>4.4344000000000001</v>
      </c>
      <c r="D25" s="4">
        <v>4.4359000000000002</v>
      </c>
      <c r="E25" s="4">
        <v>4.4356</v>
      </c>
      <c r="F25" s="4">
        <v>4.4353999999999996</v>
      </c>
      <c r="G25" s="4">
        <v>4.4378000000000002</v>
      </c>
      <c r="H25" s="6">
        <f>AVERAGE(C25:G25)</f>
        <v>4.4358200000000005</v>
      </c>
      <c r="I25" s="15"/>
    </row>
    <row r="26" spans="2:9" x14ac:dyDescent="0.25">
      <c r="B26" s="9"/>
      <c r="C26" s="11" t="s">
        <v>22</v>
      </c>
      <c r="D26" s="12"/>
      <c r="E26" s="12"/>
      <c r="F26" s="12"/>
      <c r="G26" s="13"/>
      <c r="H26" s="3" t="s">
        <v>18</v>
      </c>
      <c r="I26" s="15"/>
    </row>
    <row r="27" spans="2:9" x14ac:dyDescent="0.25">
      <c r="B27" s="10"/>
      <c r="C27" s="4">
        <v>1481.8637000000001</v>
      </c>
      <c r="D27" s="4">
        <v>6233.1782999999996</v>
      </c>
      <c r="E27" s="4">
        <v>588.81359999999995</v>
      </c>
      <c r="F27" s="4">
        <v>12226.1492</v>
      </c>
      <c r="G27" s="4">
        <v>399.26549999999997</v>
      </c>
      <c r="H27" s="6">
        <f>AVERAGE(C27:G27)</f>
        <v>4185.8540599999997</v>
      </c>
      <c r="I27" s="16"/>
    </row>
    <row r="28" spans="2:9" ht="15" customHeight="1" x14ac:dyDescent="0.25">
      <c r="B28" s="8" t="s">
        <v>5</v>
      </c>
      <c r="C28" s="11" t="s">
        <v>17</v>
      </c>
      <c r="D28" s="12"/>
      <c r="E28" s="12"/>
      <c r="F28" s="12"/>
      <c r="G28" s="13"/>
      <c r="H28" s="3" t="s">
        <v>18</v>
      </c>
      <c r="I28" s="14">
        <v>9.02</v>
      </c>
    </row>
    <row r="29" spans="2:9" x14ac:dyDescent="0.25">
      <c r="B29" s="9"/>
      <c r="C29" s="4">
        <v>9.8900000000000002E-2</v>
      </c>
      <c r="D29" s="4">
        <v>9.8599999999999993E-2</v>
      </c>
      <c r="E29" s="4">
        <v>9.8699999999999996E-2</v>
      </c>
      <c r="F29" s="4">
        <v>9.8699999999999996E-2</v>
      </c>
      <c r="G29" s="4">
        <v>9.9000000000000005E-2</v>
      </c>
      <c r="H29" s="6">
        <f>AVERAGE(C29:G29)</f>
        <v>9.8780000000000007E-2</v>
      </c>
      <c r="I29" s="15"/>
    </row>
    <row r="30" spans="2:9" x14ac:dyDescent="0.25">
      <c r="B30" s="9"/>
      <c r="C30" s="11" t="s">
        <v>19</v>
      </c>
      <c r="D30" s="12"/>
      <c r="E30" s="12"/>
      <c r="F30" s="12"/>
      <c r="G30" s="13"/>
      <c r="H30" s="3" t="s">
        <v>18</v>
      </c>
      <c r="I30" s="15"/>
    </row>
    <row r="31" spans="2:9" x14ac:dyDescent="0.25">
      <c r="B31" s="9"/>
      <c r="C31" s="4">
        <v>0.6542</v>
      </c>
      <c r="D31" s="4">
        <v>0.6542</v>
      </c>
      <c r="E31" s="4">
        <v>0.6542</v>
      </c>
      <c r="F31" s="4">
        <v>0.6542</v>
      </c>
      <c r="G31" s="4">
        <v>0.6542</v>
      </c>
      <c r="H31" s="6">
        <f>AVERAGE(C31:G31)</f>
        <v>0.6542</v>
      </c>
      <c r="I31" s="15"/>
    </row>
    <row r="32" spans="2:9" x14ac:dyDescent="0.25">
      <c r="B32" s="9"/>
      <c r="C32" s="11" t="s">
        <v>22</v>
      </c>
      <c r="D32" s="12"/>
      <c r="E32" s="12"/>
      <c r="F32" s="12"/>
      <c r="G32" s="13"/>
      <c r="H32" s="3" t="s">
        <v>18</v>
      </c>
      <c r="I32" s="15"/>
    </row>
    <row r="33" spans="2:9" x14ac:dyDescent="0.25">
      <c r="B33" s="10"/>
      <c r="C33" s="4">
        <v>0.62319999999999998</v>
      </c>
      <c r="D33" s="4">
        <v>0.78590000000000004</v>
      </c>
      <c r="E33" s="4">
        <v>0.47639999999999999</v>
      </c>
      <c r="F33" s="4">
        <v>0.61450000000000005</v>
      </c>
      <c r="G33" s="4">
        <v>1.1357999999999999</v>
      </c>
      <c r="H33" s="6">
        <f>AVERAGE(C33:G33)</f>
        <v>0.72715999999999992</v>
      </c>
      <c r="I33" s="16"/>
    </row>
    <row r="34" spans="2:9" x14ac:dyDescent="0.25">
      <c r="B34" s="8" t="s">
        <v>26</v>
      </c>
      <c r="C34" s="11" t="s">
        <v>17</v>
      </c>
      <c r="D34" s="12"/>
      <c r="E34" s="12"/>
      <c r="F34" s="12"/>
      <c r="G34" s="13"/>
      <c r="H34" s="3" t="s">
        <v>18</v>
      </c>
      <c r="I34" s="14">
        <v>1.21</v>
      </c>
    </row>
    <row r="35" spans="2:9" x14ac:dyDescent="0.25">
      <c r="B35" s="9"/>
      <c r="C35" s="4">
        <v>56.025599999999997</v>
      </c>
      <c r="D35" s="4">
        <v>56.012</v>
      </c>
      <c r="E35" s="4">
        <v>56.010300000000001</v>
      </c>
      <c r="F35" s="4">
        <v>56.023299999999999</v>
      </c>
      <c r="G35" s="4">
        <v>56.012300000000003</v>
      </c>
      <c r="H35" s="6">
        <f>AVERAGE(C35:G35)</f>
        <v>56.0167</v>
      </c>
      <c r="I35" s="15"/>
    </row>
    <row r="36" spans="2:9" x14ac:dyDescent="0.25">
      <c r="B36" s="9"/>
      <c r="C36" s="11" t="s">
        <v>19</v>
      </c>
      <c r="D36" s="12"/>
      <c r="E36" s="12"/>
      <c r="F36" s="12"/>
      <c r="G36" s="13"/>
      <c r="H36" s="3" t="s">
        <v>18</v>
      </c>
      <c r="I36" s="15"/>
    </row>
    <row r="37" spans="2:9" x14ac:dyDescent="0.25">
      <c r="B37" s="9"/>
      <c r="C37" s="4">
        <v>395.20850000000002</v>
      </c>
      <c r="D37" s="4">
        <v>394.005</v>
      </c>
      <c r="E37" s="4">
        <v>394.06279999999998</v>
      </c>
      <c r="F37" s="4">
        <v>395.07830000000001</v>
      </c>
      <c r="G37" s="4">
        <v>395.39569999999998</v>
      </c>
      <c r="H37" s="6">
        <f>AVERAGE(C37:G37)</f>
        <v>394.75006000000002</v>
      </c>
      <c r="I37" s="15"/>
    </row>
    <row r="38" spans="2:9" x14ac:dyDescent="0.25">
      <c r="B38" s="9"/>
      <c r="C38" s="11"/>
      <c r="D38" s="12"/>
      <c r="E38" s="12"/>
      <c r="F38" s="12"/>
      <c r="G38" s="13"/>
      <c r="H38" s="3" t="s">
        <v>18</v>
      </c>
      <c r="I38" s="15"/>
    </row>
    <row r="39" spans="2:9" x14ac:dyDescent="0.25">
      <c r="B39" s="10"/>
      <c r="C39" s="4">
        <v>16549.9048</v>
      </c>
      <c r="D39" s="4">
        <v>44571.595200000003</v>
      </c>
      <c r="E39" s="4">
        <v>45633.952400000002</v>
      </c>
      <c r="F39" s="4">
        <v>29557.381000000001</v>
      </c>
      <c r="G39" s="4">
        <v>47384.463400000001</v>
      </c>
      <c r="H39" s="6">
        <f>AVERAGE(C39:G39)</f>
        <v>36739.459360000001</v>
      </c>
      <c r="I39" s="16"/>
    </row>
  </sheetData>
  <mergeCells count="31">
    <mergeCell ref="C3:H3"/>
    <mergeCell ref="C6:G6"/>
    <mergeCell ref="C8:G8"/>
    <mergeCell ref="B4:B9"/>
    <mergeCell ref="I4:I9"/>
    <mergeCell ref="B10:B15"/>
    <mergeCell ref="C10:G10"/>
    <mergeCell ref="I10:I15"/>
    <mergeCell ref="C12:G12"/>
    <mergeCell ref="C14:G14"/>
    <mergeCell ref="C4:G4"/>
    <mergeCell ref="B22:B27"/>
    <mergeCell ref="C22:G22"/>
    <mergeCell ref="I22:I27"/>
    <mergeCell ref="C24:G24"/>
    <mergeCell ref="C26:G26"/>
    <mergeCell ref="B16:B21"/>
    <mergeCell ref="C16:G16"/>
    <mergeCell ref="I16:I21"/>
    <mergeCell ref="C18:G18"/>
    <mergeCell ref="C20:G20"/>
    <mergeCell ref="B34:B39"/>
    <mergeCell ref="C34:G34"/>
    <mergeCell ref="I34:I39"/>
    <mergeCell ref="C36:G36"/>
    <mergeCell ref="C38:G38"/>
    <mergeCell ref="B28:B33"/>
    <mergeCell ref="C28:G28"/>
    <mergeCell ref="I28:I33"/>
    <mergeCell ref="C30:G30"/>
    <mergeCell ref="C32:G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Tuning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Affan Dhankwala</dc:creator>
  <cp:lastModifiedBy>Mohamed Affan Dhankwala</cp:lastModifiedBy>
  <dcterms:created xsi:type="dcterms:W3CDTF">2024-11-10T13:43:49Z</dcterms:created>
  <dcterms:modified xsi:type="dcterms:W3CDTF">2024-11-10T20:42:39Z</dcterms:modified>
</cp:coreProperties>
</file>